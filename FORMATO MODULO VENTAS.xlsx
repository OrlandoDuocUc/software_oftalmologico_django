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1C4555C-A551-4BFD-B4D3-D335209F32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4" i="1"/>
  <c r="I23" i="1"/>
  <c r="I17" i="1"/>
  <c r="I27" i="1"/>
  <c r="C27" i="1" l="1"/>
  <c r="C26" i="1" s="1"/>
</calcChain>
</file>

<file path=xl/sharedStrings.xml><?xml version="1.0" encoding="utf-8"?>
<sst xmlns="http://schemas.openxmlformats.org/spreadsheetml/2006/main" count="57" uniqueCount="57">
  <si>
    <t>Sr. (es)</t>
  </si>
  <si>
    <t>Ruc/ C.I</t>
  </si>
  <si>
    <t>Direccion</t>
  </si>
  <si>
    <t>Celular</t>
  </si>
  <si>
    <t>Nota de Pedido</t>
  </si>
  <si>
    <t>Ciudad</t>
  </si>
  <si>
    <t>Dia</t>
  </si>
  <si>
    <t>Mes</t>
  </si>
  <si>
    <t>Año</t>
  </si>
  <si>
    <t>N° de Factura</t>
  </si>
  <si>
    <t>Cantidad</t>
  </si>
  <si>
    <t>Forma de Pago</t>
  </si>
  <si>
    <t>Efectivo</t>
  </si>
  <si>
    <t>Dinero Electronico</t>
  </si>
  <si>
    <t>Tarjeta de Credito/ Tarjeta de Debito</t>
  </si>
  <si>
    <t>Otros</t>
  </si>
  <si>
    <t>Abono</t>
  </si>
  <si>
    <t>Saldo</t>
  </si>
  <si>
    <t>Correo Electronico</t>
  </si>
  <si>
    <t>Detalle</t>
  </si>
  <si>
    <t>Código Principal</t>
  </si>
  <si>
    <t>Código Auxiliar</t>
  </si>
  <si>
    <t>Descripción</t>
  </si>
  <si>
    <t>Precio unitario</t>
  </si>
  <si>
    <t>Tarifa</t>
  </si>
  <si>
    <t>Descuento</t>
  </si>
  <si>
    <t>Valor total</t>
  </si>
  <si>
    <t>Subtotal sin impuestos:</t>
  </si>
  <si>
    <t>Subtotal 15.00%:</t>
  </si>
  <si>
    <t>Subtotal 5%:</t>
  </si>
  <si>
    <t>Subtotal 0%:</t>
  </si>
  <si>
    <t>Total descuento:</t>
  </si>
  <si>
    <t>IVA 15.00% :</t>
  </si>
  <si>
    <t>IVA 5% :</t>
  </si>
  <si>
    <t>valor a pagar</t>
  </si>
  <si>
    <t>Codigo o Descripcion</t>
  </si>
  <si>
    <t>Buscar</t>
  </si>
  <si>
    <t xml:space="preserve">Proceso de pago </t>
  </si>
  <si>
    <t>Valor Total</t>
  </si>
  <si>
    <t>DATOS DE LA OPTICA INCLUIDO LOGO</t>
  </si>
  <si>
    <t>Numero de Historias</t>
  </si>
  <si>
    <t>Pacientes</t>
  </si>
  <si>
    <t xml:space="preserve">Firma </t>
  </si>
  <si>
    <t xml:space="preserve">Codigo del Vendedor </t>
  </si>
  <si>
    <t>Escalante Kerly</t>
  </si>
  <si>
    <t>Visto</t>
  </si>
  <si>
    <t>Guayaquil</t>
  </si>
  <si>
    <t>001-001-000000236</t>
  </si>
  <si>
    <t>John Naranjo</t>
  </si>
  <si>
    <t>15669 (Dar acceso a colocar mas de un codigo)</t>
  </si>
  <si>
    <t>( Colocando el codigo debe aparacer los diferenctes pacientes)</t>
  </si>
  <si>
    <t>Guayacanes</t>
  </si>
  <si>
    <t>lastelove@hotmail.com</t>
  </si>
  <si>
    <t>AO 11920</t>
  </si>
  <si>
    <t>50 18 140 ( Se junta Diametro 1 y Diametro 2)</t>
  </si>
  <si>
    <t>Toda la descripcion del Item Que es Marca / Codigo/ Diametro 1 /  Diametro 2 y color</t>
  </si>
  <si>
    <t>AO 11920 ( Debe poder buscar por cualquier referente del inventario tal como lo hace el buscador del inventario actualmente)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</si>
</sst>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459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/>
    <xf numFmtId="0" fontId="2" fillId="0" borderId="2" xfId="0" applyFont="1" applyBorder="1"/>
    <xf numFmtId="9" fontId="2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wrapText="1"/>
    </xf>
    <xf numFmtId="2" fontId="4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/>
    <xf numFmtId="2" fontId="0" fillId="0" borderId="1" xfId="0" applyNumberFormat="1" applyBorder="1"/>
    <xf numFmtId="2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0" borderId="1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stelov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tabSelected="1" zoomScale="95" zoomScaleNormal="95" workbookViewId="0">
      <selection activeCell="K7" sqref="K7"/>
    </sheetView>
  </sheetViews>
  <sheetFormatPr baseColWidth="10" defaultColWidth="9.140625" defaultRowHeight="15" x14ac:dyDescent="0.25"/>
  <cols>
    <col min="2" max="2" width="21.5703125" customWidth="1"/>
    <col min="3" max="3" width="14.5703125" customWidth="1"/>
    <col min="4" max="4" width="12.42578125" customWidth="1"/>
    <col min="5" max="5" width="37.140625" customWidth="1"/>
    <col min="6" max="6" width="18.42578125" customWidth="1"/>
    <col min="7" max="7" width="15.5703125" customWidth="1"/>
    <col min="8" max="8" width="19" customWidth="1"/>
    <col min="9" max="9" width="15.42578125" customWidth="1"/>
  </cols>
  <sheetData>
    <row r="2" spans="2:9" x14ac:dyDescent="0.25">
      <c r="B2" s="19" t="s">
        <v>39</v>
      </c>
      <c r="C2" s="19"/>
      <c r="D2" s="19"/>
      <c r="E2" s="19"/>
      <c r="F2" s="6" t="s">
        <v>4</v>
      </c>
      <c r="G2" s="20"/>
      <c r="H2" s="20"/>
      <c r="I2" s="20"/>
    </row>
    <row r="3" spans="2:9" x14ac:dyDescent="0.25">
      <c r="B3" s="19"/>
      <c r="C3" s="19"/>
      <c r="D3" s="19"/>
      <c r="E3" s="19"/>
      <c r="F3" s="6" t="s">
        <v>5</v>
      </c>
      <c r="G3" s="6" t="s">
        <v>6</v>
      </c>
      <c r="H3" s="6" t="s">
        <v>7</v>
      </c>
      <c r="I3" s="6" t="s">
        <v>8</v>
      </c>
    </row>
    <row r="4" spans="2:9" x14ac:dyDescent="0.25">
      <c r="B4" s="19"/>
      <c r="C4" s="19"/>
      <c r="D4" s="19"/>
      <c r="E4" s="19"/>
      <c r="F4" s="2" t="s">
        <v>46</v>
      </c>
      <c r="G4" s="2">
        <v>12</v>
      </c>
      <c r="H4" s="2">
        <v>1</v>
      </c>
      <c r="I4" s="2">
        <v>2026</v>
      </c>
    </row>
    <row r="5" spans="2:9" x14ac:dyDescent="0.25">
      <c r="B5" s="19"/>
      <c r="C5" s="19"/>
      <c r="D5" s="19"/>
      <c r="E5" s="19"/>
      <c r="F5" s="6" t="s">
        <v>9</v>
      </c>
      <c r="G5" s="20" t="s">
        <v>47</v>
      </c>
      <c r="H5" s="20"/>
      <c r="I5" s="20"/>
    </row>
    <row r="6" spans="2:9" x14ac:dyDescent="0.25">
      <c r="B6" s="6" t="s">
        <v>0</v>
      </c>
      <c r="C6" s="20" t="s">
        <v>48</v>
      </c>
      <c r="D6" s="20"/>
      <c r="E6" s="20"/>
    </row>
    <row r="7" spans="2:9" x14ac:dyDescent="0.25">
      <c r="B7" s="6" t="s">
        <v>1</v>
      </c>
      <c r="C7" s="20">
        <v>919480947</v>
      </c>
      <c r="D7" s="20"/>
      <c r="E7" s="20"/>
      <c r="F7" s="19" t="s">
        <v>40</v>
      </c>
      <c r="G7" s="20" t="s">
        <v>49</v>
      </c>
      <c r="H7" s="20"/>
      <c r="I7" s="20"/>
    </row>
    <row r="8" spans="2:9" x14ac:dyDescent="0.25">
      <c r="B8" s="6" t="s">
        <v>2</v>
      </c>
      <c r="C8" s="20" t="s">
        <v>51</v>
      </c>
      <c r="D8" s="20"/>
      <c r="E8" s="20"/>
      <c r="F8" s="19"/>
      <c r="G8" s="20"/>
      <c r="H8" s="20"/>
      <c r="I8" s="20"/>
    </row>
    <row r="9" spans="2:9" x14ac:dyDescent="0.25">
      <c r="B9" s="6" t="s">
        <v>3</v>
      </c>
      <c r="C9" s="20">
        <v>999289676</v>
      </c>
      <c r="D9" s="20"/>
      <c r="E9" s="20"/>
      <c r="F9" s="19" t="s">
        <v>41</v>
      </c>
      <c r="G9" s="21" t="s">
        <v>50</v>
      </c>
      <c r="H9" s="21"/>
      <c r="I9" s="21"/>
    </row>
    <row r="10" spans="2:9" x14ac:dyDescent="0.25">
      <c r="B10" s="6" t="s">
        <v>18</v>
      </c>
      <c r="C10" s="22" t="s">
        <v>52</v>
      </c>
      <c r="D10" s="20"/>
      <c r="E10" s="20"/>
      <c r="F10" s="19"/>
      <c r="G10" s="21"/>
      <c r="H10" s="21"/>
      <c r="I10" s="21"/>
    </row>
    <row r="11" spans="2:9" ht="9.75" customHeight="1" x14ac:dyDescent="0.25"/>
    <row r="12" spans="2:9" x14ac:dyDescent="0.25">
      <c r="B12" s="7" t="s">
        <v>19</v>
      </c>
    </row>
    <row r="13" spans="2:9" x14ac:dyDescent="0.25">
      <c r="B13" s="6" t="s">
        <v>35</v>
      </c>
      <c r="C13" s="23" t="s">
        <v>56</v>
      </c>
      <c r="D13" s="24"/>
      <c r="E13" s="24"/>
      <c r="F13" s="24"/>
      <c r="G13" s="24"/>
      <c r="H13" s="25"/>
      <c r="I13" s="6" t="s">
        <v>36</v>
      </c>
    </row>
    <row r="14" spans="2:9" ht="5.25" customHeight="1" x14ac:dyDescent="0.25"/>
    <row r="15" spans="2:9" ht="4.5" customHeight="1" x14ac:dyDescent="0.25"/>
    <row r="16" spans="2:9" ht="30" x14ac:dyDescent="0.25">
      <c r="B16" s="1" t="s">
        <v>20</v>
      </c>
      <c r="C16" s="1" t="s">
        <v>21</v>
      </c>
      <c r="D16" s="1" t="s">
        <v>10</v>
      </c>
      <c r="E16" s="1" t="s">
        <v>22</v>
      </c>
      <c r="F16" s="1" t="s">
        <v>23</v>
      </c>
      <c r="G16" s="1" t="s">
        <v>24</v>
      </c>
      <c r="H16" s="1" t="s">
        <v>25</v>
      </c>
      <c r="I16" s="1" t="s">
        <v>26</v>
      </c>
    </row>
    <row r="17" spans="2:9" ht="45" x14ac:dyDescent="0.25">
      <c r="B17" s="2" t="s">
        <v>53</v>
      </c>
      <c r="C17" s="13" t="s">
        <v>54</v>
      </c>
      <c r="D17" s="2">
        <v>1</v>
      </c>
      <c r="E17" s="3" t="s">
        <v>55</v>
      </c>
      <c r="F17" s="2">
        <v>13.04</v>
      </c>
      <c r="G17" s="8">
        <v>0.15</v>
      </c>
      <c r="H17" s="2">
        <v>2</v>
      </c>
      <c r="I17" s="2">
        <f>+F17-H17</f>
        <v>11.04</v>
      </c>
    </row>
    <row r="18" spans="2:9" x14ac:dyDescent="0.25">
      <c r="B18" s="2"/>
      <c r="C18" s="2"/>
      <c r="D18" s="2"/>
      <c r="E18" s="2"/>
      <c r="F18" s="2"/>
      <c r="G18" s="8">
        <v>0.15</v>
      </c>
      <c r="H18" s="2"/>
      <c r="I18" s="2"/>
    </row>
    <row r="19" spans="2:9" x14ac:dyDescent="0.25">
      <c r="B19" s="2"/>
      <c r="C19" s="2"/>
      <c r="D19" s="2"/>
      <c r="E19" s="2"/>
      <c r="F19" s="2"/>
      <c r="G19" s="8">
        <v>0.15</v>
      </c>
      <c r="H19" s="2"/>
      <c r="I19" s="2"/>
    </row>
    <row r="20" spans="2:9" x14ac:dyDescent="0.25">
      <c r="B20" s="2"/>
      <c r="C20" s="2"/>
      <c r="D20" s="2"/>
      <c r="E20" s="2"/>
      <c r="F20" s="2"/>
      <c r="G20" s="8">
        <v>0.15</v>
      </c>
      <c r="H20" s="2"/>
      <c r="I20" s="2"/>
    </row>
    <row r="21" spans="2:9" x14ac:dyDescent="0.25">
      <c r="B21" s="2"/>
      <c r="C21" s="2"/>
      <c r="D21" s="2"/>
      <c r="E21" s="2"/>
      <c r="F21" s="2"/>
      <c r="G21" s="8">
        <v>0.15</v>
      </c>
      <c r="H21" s="2"/>
      <c r="I21" s="2"/>
    </row>
    <row r="22" spans="2:9" x14ac:dyDescent="0.25">
      <c r="B22" s="2"/>
      <c r="C22" s="2"/>
      <c r="D22" s="2"/>
      <c r="E22" s="2"/>
      <c r="F22" s="2"/>
      <c r="G22" s="8">
        <v>0.15</v>
      </c>
      <c r="H22" s="2"/>
      <c r="I22" s="2"/>
    </row>
    <row r="23" spans="2:9" ht="30" x14ac:dyDescent="0.25">
      <c r="H23" s="9" t="s">
        <v>27</v>
      </c>
      <c r="I23" s="5">
        <f>+SUM(I17:I22)</f>
        <v>11.04</v>
      </c>
    </row>
    <row r="24" spans="2:9" x14ac:dyDescent="0.25">
      <c r="B24" s="18" t="s">
        <v>37</v>
      </c>
      <c r="C24" s="18"/>
      <c r="H24" s="4" t="s">
        <v>28</v>
      </c>
      <c r="I24" s="10">
        <f>+I23</f>
        <v>11.04</v>
      </c>
    </row>
    <row r="25" spans="2:9" x14ac:dyDescent="0.25">
      <c r="B25" s="6" t="s">
        <v>16</v>
      </c>
      <c r="C25" s="16">
        <v>7</v>
      </c>
      <c r="H25" s="4" t="s">
        <v>29</v>
      </c>
      <c r="I25" s="10">
        <v>0</v>
      </c>
    </row>
    <row r="26" spans="2:9" x14ac:dyDescent="0.25">
      <c r="B26" s="6" t="s">
        <v>17</v>
      </c>
      <c r="C26" s="17">
        <f>+C27-C25</f>
        <v>5.6959999999999997</v>
      </c>
      <c r="H26" s="4" t="s">
        <v>30</v>
      </c>
      <c r="I26" s="10">
        <v>0</v>
      </c>
    </row>
    <row r="27" spans="2:9" x14ac:dyDescent="0.25">
      <c r="B27" s="6" t="s">
        <v>38</v>
      </c>
      <c r="C27" s="15">
        <f>+I30</f>
        <v>12.696</v>
      </c>
      <c r="H27" s="9" t="s">
        <v>31</v>
      </c>
      <c r="I27" s="5">
        <f>+SUM(H17:H22)</f>
        <v>2</v>
      </c>
    </row>
    <row r="28" spans="2:9" x14ac:dyDescent="0.25">
      <c r="H28" s="4" t="s">
        <v>32</v>
      </c>
      <c r="I28" s="14">
        <f>+I24*15%</f>
        <v>1.6559999999999999</v>
      </c>
    </row>
    <row r="29" spans="2:9" x14ac:dyDescent="0.25">
      <c r="B29" s="18" t="s">
        <v>11</v>
      </c>
      <c r="C29" s="18"/>
      <c r="H29" s="4" t="s">
        <v>33</v>
      </c>
      <c r="I29" s="14">
        <v>0</v>
      </c>
    </row>
    <row r="30" spans="2:9" x14ac:dyDescent="0.25">
      <c r="B30" s="6" t="s">
        <v>12</v>
      </c>
      <c r="C30" s="2" t="s">
        <v>45</v>
      </c>
      <c r="H30" s="9" t="s">
        <v>34</v>
      </c>
      <c r="I30" s="15">
        <f>+I23+I28+I29</f>
        <v>12.696</v>
      </c>
    </row>
    <row r="31" spans="2:9" x14ac:dyDescent="0.25">
      <c r="B31" s="6" t="s">
        <v>13</v>
      </c>
      <c r="C31" s="2"/>
    </row>
    <row r="32" spans="2:9" ht="30" x14ac:dyDescent="0.25">
      <c r="B32" s="11" t="s">
        <v>14</v>
      </c>
      <c r="C32" s="2"/>
    </row>
    <row r="33" spans="2:3" x14ac:dyDescent="0.25">
      <c r="B33" s="6" t="s">
        <v>15</v>
      </c>
      <c r="C33" s="2"/>
    </row>
    <row r="35" spans="2:3" x14ac:dyDescent="0.25">
      <c r="B35" s="6" t="s">
        <v>43</v>
      </c>
      <c r="C35" s="12">
        <v>2000</v>
      </c>
    </row>
    <row r="36" spans="2:3" x14ac:dyDescent="0.25">
      <c r="B36" s="6" t="s">
        <v>42</v>
      </c>
      <c r="C36" s="12" t="s">
        <v>44</v>
      </c>
    </row>
  </sheetData>
  <mergeCells count="15">
    <mergeCell ref="G7:I8"/>
    <mergeCell ref="G9:I10"/>
    <mergeCell ref="G2:I2"/>
    <mergeCell ref="G5:I5"/>
    <mergeCell ref="C6:E6"/>
    <mergeCell ref="C7:E7"/>
    <mergeCell ref="C8:E8"/>
    <mergeCell ref="C9:E9"/>
    <mergeCell ref="C10:E10"/>
    <mergeCell ref="B24:C24"/>
    <mergeCell ref="B29:C29"/>
    <mergeCell ref="B2:E5"/>
    <mergeCell ref="F7:F8"/>
    <mergeCell ref="F9:F10"/>
    <mergeCell ref="C13:H13"/>
  </mergeCells>
  <hyperlinks>
    <hyperlink ref="C10" r:id="rId1" xr:uid="{39EFB42B-7043-4223-AD0C-8AF38082CC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ORLANDO . RODRIGUEZ LOPEZ</cp:lastModifiedBy>
  <dcterms:created xsi:type="dcterms:W3CDTF">2015-06-05T18:19:34Z</dcterms:created>
  <dcterms:modified xsi:type="dcterms:W3CDTF">2026-01-18T01:21:34Z</dcterms:modified>
</cp:coreProperties>
</file>